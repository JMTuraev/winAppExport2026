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41280" windowHeight="13128" tabRatio="500" firstSheet="0" activeTab="0" autoFilterDateGrouping="1"/>
  </bookViews>
  <sheets>
    <sheet xmlns:r="http://schemas.openxmlformats.org/officeDocument/2006/relationships" name="Соҳалар билан" sheetId="1" state="visible" r:id="rId1"/>
    <sheet xmlns:r="http://schemas.openxmlformats.org/officeDocument/2006/relationships" name="Корхоналар" sheetId="2" state="visible" r:id="rId2"/>
  </sheets>
  <definedNames>
    <definedName name="_xlnm.Print_Titles" localSheetId="0">'Соҳалар билан'!$3:$4</definedName>
    <definedName name="_xlnm.Print_Area" localSheetId="0">'Соҳалар билан'!$A$1:$J$335</definedName>
    <definedName name="_xlnm.Print_Titles" localSheetId="1">'Корхоналар'!$3:$4</definedName>
    <definedName name="_xlnm.Print_Area" localSheetId="1">'Корхоналар'!$A$1:$J$109</definedName>
  </definedNames>
  <calcPr calcId="152511" fullCalcOnLoad="1" iterateDelta="0.0001"/>
</workbook>
</file>

<file path=xl/styles.xml><?xml version="1.0" encoding="utf-8"?>
<styleSheet xmlns="http://schemas.openxmlformats.org/spreadsheetml/2006/main">
  <numFmts count="3">
    <numFmt numFmtId="164" formatCode="_-* #,##0\ _₽_-;\-* #,##0\ _₽_-;_-* \-??\ _₽_-;_-@_-"/>
    <numFmt numFmtId="165" formatCode="_-* #,##0.0\ _₽_-;\-* #,##0.0\ _₽_-;_-* \-??\ _₽_-;_-@_-"/>
    <numFmt numFmtId="166" formatCode="_(* #,##0.00_);_(* \(#,##0.00\);_(* \-??_);_(@_)"/>
  </numFmts>
  <fonts count="12">
    <font>
      <name val="Calibri"/>
      <charset val="1"/>
      <family val="2"/>
      <color rgb="FF000000"/>
      <sz val="11"/>
    </font>
    <font>
      <name val="Calibri"/>
      <charset val="204"/>
      <family val="2"/>
      <b val="1"/>
      <color rgb="FF000000"/>
      <sz val="14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rgb="FFFF0000"/>
      <sz val="11"/>
    </font>
    <font>
      <name val="Calibri"/>
      <charset val="1"/>
      <family val="2"/>
      <b val="1"/>
      <color rgb="FF00B050"/>
      <sz val="11"/>
    </font>
    <font>
      <name val="Calibri"/>
      <charset val="1"/>
      <b val="1"/>
      <sz val="11"/>
    </font>
    <font>
      <name val="Calibri"/>
      <charset val="1"/>
      <family val="2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color rgb="FF000000"/>
      <sz val="11"/>
    </font>
    <font>
      <name val="Calibri"/>
      <charset val="204"/>
      <family val="2"/>
      <color rgb="FF00B050"/>
      <sz val="11"/>
    </font>
    <font>
      <name val="Calibri"/>
      <charset val="204"/>
      <family val="2"/>
      <color rgb="FFFF0000"/>
      <sz val="11"/>
    </font>
    <font>
      <name val="Calibri"/>
      <charset val="204"/>
      <family val="2"/>
      <b val="1"/>
      <color rgb="FFFF0000"/>
      <sz val="14"/>
    </font>
  </fonts>
  <fills count="4">
    <fill>
      <patternFill/>
    </fill>
    <fill>
      <patternFill patternType="gray125"/>
    </fill>
    <fill>
      <patternFill patternType="solid">
        <fgColor theme="4" tint="0.7998901333658864"/>
        <bgColor rgb="FFCCFFFF"/>
      </patternFill>
    </fill>
    <fill>
      <patternFill patternType="solid">
        <fgColor theme="5" tint="0.7998901333658864"/>
        <bgColor rgb="FFDEEBF7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6" fillId="0" borderId="0"/>
    <xf numFmtId="166" fontId="6" fillId="0" borderId="0"/>
  </cellStyleXfs>
  <cellXfs count="86">
    <xf numFmtId="0" fontId="0" fillId="0" borderId="0" pivotButton="0" quotePrefix="0" xfId="0"/>
    <xf numFmtId="164" fontId="2" fillId="2" borderId="2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/>
    </xf>
    <xf numFmtId="164" fontId="2" fillId="2" borderId="2" applyAlignment="1" pivotButton="0" quotePrefix="0" xfId="1">
      <alignment horizontal="center"/>
    </xf>
    <xf numFmtId="0" fontId="2" fillId="2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0" fontId="1" fillId="0" borderId="0" applyAlignment="1" pivotButton="0" quotePrefix="0" xfId="0">
      <alignment horizontal="center" vertical="center"/>
    </xf>
    <xf numFmtId="0" fontId="2" fillId="2" borderId="2" pivotButton="0" quotePrefix="0" xfId="0"/>
    <xf numFmtId="164" fontId="2" fillId="2" borderId="0" applyAlignment="1" pivotButton="0" quotePrefix="0" xfId="1">
      <alignment horizontal="center"/>
    </xf>
    <xf numFmtId="0" fontId="2" fillId="2" borderId="3" pivotButton="0" quotePrefix="0" xfId="0"/>
    <xf numFmtId="164" fontId="2" fillId="2" borderId="3" applyAlignment="1" pivotButton="0" quotePrefix="0" xfId="1">
      <alignment horizontal="center" vertical="center" wrapText="1"/>
    </xf>
    <xf numFmtId="164" fontId="2" fillId="2" borderId="4" applyAlignment="1" pivotButton="0" quotePrefix="0" xfId="1">
      <alignment horizontal="center" vertical="center" wrapText="1"/>
    </xf>
    <xf numFmtId="164" fontId="2" fillId="2" borderId="0" applyAlignment="1" pivotButton="0" quotePrefix="0" xfId="1">
      <alignment horizontal="center" vertical="center" wrapText="1"/>
    </xf>
    <xf numFmtId="0" fontId="2" fillId="2" borderId="5" pivotButton="0" quotePrefix="0" xfId="0"/>
    <xf numFmtId="164" fontId="2" fillId="2" borderId="5" pivotButton="0" quotePrefix="0" xfId="1"/>
    <xf numFmtId="164" fontId="2" fillId="2" borderId="6" pivotButton="0" quotePrefix="0" xfId="1"/>
    <xf numFmtId="164" fontId="2" fillId="2" borderId="0" pivotButton="0" quotePrefix="0" xfId="1"/>
    <xf numFmtId="164" fontId="2" fillId="3" borderId="3" pivotButton="0" quotePrefix="0" xfId="1"/>
    <xf numFmtId="0" fontId="2" fillId="3" borderId="3" pivotButton="0" quotePrefix="0" xfId="0"/>
    <xf numFmtId="164" fontId="2" fillId="3" borderId="4" pivotButton="0" quotePrefix="0" xfId="1"/>
    <xf numFmtId="164" fontId="2" fillId="3" borderId="0" pivotButton="0" quotePrefix="0" xfId="1"/>
    <xf numFmtId="0" fontId="0" fillId="3" borderId="0" pivotButton="0" quotePrefix="0" xfId="0"/>
    <xf numFmtId="0" fontId="0" fillId="0" borderId="3" pivotButton="0" quotePrefix="0" xfId="0"/>
    <xf numFmtId="164" fontId="0" fillId="0" borderId="3" pivotButton="0" quotePrefix="0" xfId="1"/>
    <xf numFmtId="164" fontId="0" fillId="0" borderId="4" pivotButton="0" quotePrefix="0" xfId="1"/>
    <xf numFmtId="164" fontId="3" fillId="3" borderId="3" pivotButton="0" quotePrefix="0" xfId="1"/>
    <xf numFmtId="164" fontId="3" fillId="3" borderId="4" pivotButton="0" quotePrefix="0" xfId="1"/>
    <xf numFmtId="164" fontId="3" fillId="3" borderId="0" pivotButton="0" quotePrefix="0" xfId="1"/>
    <xf numFmtId="164" fontId="4" fillId="3" borderId="0" pivotButton="0" quotePrefix="0" xfId="1"/>
    <xf numFmtId="0" fontId="2" fillId="2" borderId="7" pivotButton="0" quotePrefix="0" xfId="0"/>
    <xf numFmtId="164" fontId="2" fillId="2" borderId="7" applyAlignment="1" pivotButton="0" quotePrefix="0" xfId="0">
      <alignment horizontal="center" vertical="center" wrapText="1"/>
    </xf>
    <xf numFmtId="164" fontId="2" fillId="2" borderId="5" pivotButton="0" quotePrefix="0" xfId="0"/>
    <xf numFmtId="164" fontId="2" fillId="2" borderId="6" pivotButton="0" quotePrefix="0" xfId="0"/>
    <xf numFmtId="164" fontId="2" fillId="2" borderId="0" pivotButton="0" quotePrefix="0" xfId="0"/>
    <xf numFmtId="0" fontId="5" fillId="3" borderId="3" applyAlignment="1" pivotButton="0" quotePrefix="0" xfId="0">
      <alignment horizontal="center"/>
    </xf>
    <xf numFmtId="0" fontId="5" fillId="3" borderId="3" pivotButton="0" quotePrefix="0" xfId="0"/>
    <xf numFmtId="164" fontId="5" fillId="3" borderId="3" pivotButton="0" quotePrefix="0" xfId="0"/>
    <xf numFmtId="164" fontId="2" fillId="0" borderId="3" pivotButton="0" quotePrefix="0" xfId="0"/>
    <xf numFmtId="0" fontId="2" fillId="0" borderId="3" pivotButton="0" quotePrefix="0" xfId="0"/>
    <xf numFmtId="164" fontId="2" fillId="0" borderId="4" pivotButton="0" quotePrefix="0" xfId="0"/>
    <xf numFmtId="164" fontId="2" fillId="0" borderId="0" pivotButton="0" quotePrefix="0" xfId="0"/>
    <xf numFmtId="164" fontId="0" fillId="0" borderId="3" pivotButton="0" quotePrefix="0" xfId="0"/>
    <xf numFmtId="164" fontId="0" fillId="0" borderId="4" pivotButton="0" quotePrefix="0" xfId="0"/>
    <xf numFmtId="164" fontId="0" fillId="0" borderId="0" pivotButton="0" quotePrefix="0" xfId="0"/>
    <xf numFmtId="164" fontId="4" fillId="0" borderId="0" pivotButton="0" quotePrefix="0" xfId="0"/>
    <xf numFmtId="164" fontId="3" fillId="0" borderId="3" pivotButton="0" quotePrefix="0" xfId="0"/>
    <xf numFmtId="164" fontId="3" fillId="0" borderId="4" pivotButton="0" quotePrefix="0" xfId="0"/>
    <xf numFmtId="164" fontId="3" fillId="0" borderId="0" pivotButton="0" quotePrefix="0" xfId="0"/>
    <xf numFmtId="164" fontId="7" fillId="0" borderId="3" pivotButton="0" quotePrefix="0" xfId="0"/>
    <xf numFmtId="0" fontId="7" fillId="0" borderId="3" pivotButton="0" quotePrefix="0" xfId="0"/>
    <xf numFmtId="164" fontId="7" fillId="0" borderId="4" pivotButton="0" quotePrefix="0" xfId="0"/>
    <xf numFmtId="164" fontId="7" fillId="0" borderId="0" pivotButton="0" quotePrefix="0" xfId="0"/>
    <xf numFmtId="0" fontId="8" fillId="0" borderId="0" pivotButton="0" quotePrefix="0" xfId="0"/>
    <xf numFmtId="164" fontId="9" fillId="0" borderId="0" pivotButton="0" quotePrefix="0" xfId="0"/>
    <xf numFmtId="164" fontId="10" fillId="0" borderId="3" pivotButton="0" quotePrefix="0" xfId="0"/>
    <xf numFmtId="164" fontId="10" fillId="0" borderId="4" pivotButton="0" quotePrefix="0" xfId="0"/>
    <xf numFmtId="164" fontId="10" fillId="0" borderId="0" pivotButton="0" quotePrefix="0" xfId="0"/>
    <xf numFmtId="0" fontId="5" fillId="3" borderId="3" applyAlignment="1" pivotButton="0" quotePrefix="0" xfId="0">
      <alignment horizontal="center" vertical="center"/>
    </xf>
    <xf numFmtId="164" fontId="5" fillId="3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164" fontId="7" fillId="0" borderId="4" applyAlignment="1" pivotButton="0" quotePrefix="0" xfId="0">
      <alignment horizontal="center" vertical="center"/>
    </xf>
    <xf numFmtId="165" fontId="7" fillId="0" borderId="3" pivotButton="0" quotePrefix="0" xfId="0"/>
    <xf numFmtId="164" fontId="2" fillId="2" borderId="2" applyAlignment="1" pivotButton="0" quotePrefix="0" xfId="0">
      <alignment horizontal="center"/>
    </xf>
    <xf numFmtId="0" fontId="0" fillId="0" borderId="15" pivotButton="0" quotePrefix="0" xfId="0"/>
    <xf numFmtId="164" fontId="2" fillId="2" borderId="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7" pivotButton="0" quotePrefix="0" xfId="0"/>
    <xf numFmtId="164" fontId="2" fillId="2" borderId="7" applyAlignment="1" pivotButton="0" quotePrefix="0" xfId="0">
      <alignment horizontal="center" vertical="center" wrapText="1"/>
    </xf>
    <xf numFmtId="164" fontId="2" fillId="2" borderId="5" pivotButton="0" quotePrefix="0" xfId="0"/>
    <xf numFmtId="164" fontId="2" fillId="2" borderId="6" pivotButton="0" quotePrefix="0" xfId="0"/>
    <xf numFmtId="164" fontId="2" fillId="2" borderId="0" pivotButton="0" quotePrefix="0" xfId="0"/>
    <xf numFmtId="164" fontId="5" fillId="3" borderId="3" pivotButton="0" quotePrefix="0" xfId="0"/>
    <xf numFmtId="164" fontId="2" fillId="0" borderId="3" pivotButton="0" quotePrefix="0" xfId="0"/>
    <xf numFmtId="164" fontId="2" fillId="0" borderId="4" pivotButton="0" quotePrefix="0" xfId="0"/>
    <xf numFmtId="164" fontId="2" fillId="0" borderId="0" pivotButton="0" quotePrefix="0" xfId="0"/>
    <xf numFmtId="164" fontId="0" fillId="0" borderId="3" pivotButton="0" quotePrefix="0" xfId="0"/>
    <xf numFmtId="164" fontId="0" fillId="0" borderId="4" pivotButton="0" quotePrefix="0" xfId="0"/>
    <xf numFmtId="164" fontId="0" fillId="0" borderId="0" pivotButton="0" quotePrefix="0" xfId="0"/>
    <xf numFmtId="164" fontId="5" fillId="3" borderId="3" applyAlignment="1" pivotButton="0" quotePrefix="0" xfId="0">
      <alignment horizontal="center" vertical="center"/>
    </xf>
    <xf numFmtId="164" fontId="7" fillId="0" borderId="3" pivotButton="0" quotePrefix="0" xfId="0"/>
    <xf numFmtId="164" fontId="7" fillId="0" borderId="4" pivotButton="0" quotePrefix="0" xfId="0"/>
    <xf numFmtId="164" fontId="7" fillId="0" borderId="0" pivotButton="0" quotePrefix="0" xfId="0"/>
  </cellXfs>
  <cellStyles count="2">
    <cellStyle name="Обычный" xfId="0" builtinId="0"/>
    <cellStyle name="Финансовый" xfId="1" builtin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zoomScale="130" zoomScaleNormal="130" workbookViewId="0">
      <pane xSplit="3" ySplit="4" topLeftCell="D5" activePane="bottomRight" state="frozen"/>
      <selection pane="topRight"/>
      <selection pane="bottomLeft"/>
      <selection pane="bottomRight" activeCell="D1" sqref="D1"/>
      <selection pane="bottomLeft" activeCell="A5" sqref="A5"/>
      <selection pane="bottomRight" activeCell="C8" sqref="C8"/>
    </sheetView>
  </sheetViews>
  <sheetFormatPr baseColWidth="8" defaultColWidth="8.6640625" defaultRowHeight="14.4"/>
  <cols>
    <col width="9.109375" customWidth="1" min="1" max="1"/>
    <col hidden="1" width="43" customWidth="1" min="2" max="2"/>
    <col width="46" customWidth="1" min="3" max="3"/>
    <col width="14" customWidth="1" min="4" max="9"/>
    <col hidden="1" width="27" customWidth="1" min="10" max="10"/>
  </cols>
  <sheetData>
    <row r="1" ht="45" customHeight="1">
      <c r="A1" s="6" t="inlineStr">
        <is>
          <t xml:space="preserve">Бухоро вилоятидаги тўқимачилик корхоналари томонидан амалга оширилган экспорт ҳажмлари
(2025-2026 йиллар 8 ойда) </t>
        </is>
      </c>
    </row>
    <row r="2" ht="15" customHeight="1"/>
    <row r="3">
      <c r="A3" s="5" t="inlineStr">
        <is>
          <t>№</t>
        </is>
      </c>
      <c r="B3" s="10" t="n"/>
      <c r="C3" s="4" t="inlineStr">
        <is>
          <t>Корхона номи</t>
        </is>
      </c>
      <c r="D3" s="66" t="inlineStr">
        <is>
          <t>2025 йил 8 ойда</t>
        </is>
      </c>
      <c r="E3" s="67" t="n"/>
      <c r="F3" s="66" t="inlineStr">
        <is>
          <t>2026 йил 8 ойда</t>
        </is>
      </c>
      <c r="G3" s="67" t="n"/>
      <c r="H3" s="66" t="inlineStr">
        <is>
          <t>Ўсиш</t>
        </is>
      </c>
      <c r="I3" s="67" t="n"/>
      <c r="J3" s="68" t="inlineStr">
        <is>
          <t>Ҳолати</t>
        </is>
      </c>
    </row>
    <row r="4" ht="42.75" customHeight="1">
      <c r="A4" s="69" t="n"/>
      <c r="B4" s="32" t="inlineStr">
        <is>
          <t>Названия строк</t>
        </is>
      </c>
      <c r="C4" s="70" t="n"/>
      <c r="D4" s="71" t="inlineStr">
        <is>
          <t>Вазни 
(тонна)</t>
        </is>
      </c>
      <c r="E4" s="71" t="inlineStr">
        <is>
          <t>Қиймати
(минг долл)</t>
        </is>
      </c>
      <c r="F4" s="71" t="inlineStr">
        <is>
          <t>Вазни 
(тонна)</t>
        </is>
      </c>
      <c r="G4" s="71" t="inlineStr">
        <is>
          <t>Қиймати
(минг долл)</t>
        </is>
      </c>
      <c r="H4" s="71" t="inlineStr">
        <is>
          <t>Қийматда</t>
        </is>
      </c>
      <c r="I4" s="71" t="inlineStr">
        <is>
          <t>Фоизда</t>
        </is>
      </c>
      <c r="J4" s="70" t="n"/>
    </row>
    <row r="5" ht="15" customHeight="1">
      <c r="A5" s="16" t="n"/>
      <c r="B5" s="12" t="n"/>
      <c r="C5" s="16" t="inlineStr">
        <is>
          <t>ЖАМИ</t>
        </is>
      </c>
      <c r="D5" s="72">
        <f>D6+D113+D183+D282</f>
        <v/>
      </c>
      <c r="E5" s="72">
        <f>E6+E113+E183+E282</f>
        <v/>
      </c>
      <c r="F5" s="72">
        <f>F6+F113+F183+F282</f>
        <v/>
      </c>
      <c r="G5" s="72">
        <f>G6+G113+G183+G282</f>
        <v/>
      </c>
      <c r="H5" s="72">
        <f>G5-E5</f>
        <v/>
      </c>
      <c r="I5" s="73">
        <f>IF(E5=0,IF(G5=0,0,100),G5/E5*100)</f>
        <v/>
      </c>
      <c r="J5" s="74" t="n"/>
    </row>
    <row r="6">
      <c r="A6" s="37" t="inlineStr">
        <is>
          <t>I</t>
        </is>
      </c>
      <c r="B6" s="38" t="n"/>
      <c r="C6" s="38">
        <f>"Экспорти кўпайган корхоналар ("&amp;COUNTIF(J7:J112,"кўпайган")&amp;" та)"</f>
        <v/>
      </c>
      <c r="D6" s="75">
        <f>SUMIF(J7:J112,"кўпайган",D7:D112)</f>
        <v/>
      </c>
      <c r="E6" s="75">
        <f>SUMIF(J7:J112,"кўпайган",E7:E112)</f>
        <v/>
      </c>
      <c r="F6" s="75">
        <f>SUMIF(J7:J112,"кўпайган",F7:F112)</f>
        <v/>
      </c>
      <c r="G6" s="75">
        <f>SUMIF(J7:J112,"кўпайган",G7:G112)</f>
        <v/>
      </c>
      <c r="H6" s="75">
        <f>G6-E6</f>
        <v/>
      </c>
      <c r="I6" s="75">
        <f>IF(E6=0,IF(G6=0,0,100),G6/E6*100)</f>
        <v/>
      </c>
      <c r="J6" s="75" t="n"/>
    </row>
    <row r="7">
      <c r="A7" s="76">
        <f>IF(J7&lt;&gt;"",COUNTIF(J$7:J7,J7),"")</f>
        <v/>
      </c>
      <c r="B7" s="41" t="n">
        <v>302699268</v>
      </c>
      <c r="C7" s="41" t="inlineStr">
        <is>
          <t>"PARVOZ QURUVCHI" MCHJ</t>
        </is>
      </c>
      <c r="D7" s="76">
        <f>SUM(D8:D12)</f>
        <v/>
      </c>
      <c r="E7" s="76">
        <f>SUM(E8:E12)</f>
        <v/>
      </c>
      <c r="F7" s="76">
        <f>SUM(F8:F12)</f>
        <v/>
      </c>
      <c r="G7" s="76">
        <f>SUM(G8:G12)</f>
        <v/>
      </c>
      <c r="H7" s="76">
        <f>G7-E7</f>
        <v/>
      </c>
      <c r="I7" s="77">
        <f>IF(E7=0,IF(G7=0,0,100),G7/E7*100)</f>
        <v/>
      </c>
      <c r="J7" s="78">
        <f>IF(E7=0,"янги корхона",IF(G7=0,"2026 йил экспорт қилмаган",IF(G7&gt;=E7,"кўпайган","камайган")))</f>
        <v/>
      </c>
    </row>
    <row r="8">
      <c r="A8" s="25" t="n"/>
      <c r="B8" s="25" t="inlineStr">
        <is>
          <t>Енгли ва енгсиз футболкалар</t>
        </is>
      </c>
      <c r="C8" s="25" t="inlineStr">
        <is>
          <t>Енгли ва енгсиз футболкалар</t>
        </is>
      </c>
      <c r="D8" s="79" t="n"/>
      <c r="E8" s="79" t="n"/>
      <c r="F8" s="79" t="n">
        <v>336.54798</v>
      </c>
      <c r="G8" s="79" t="n">
        <v>4400.968</v>
      </c>
      <c r="H8" s="79">
        <f>G8-E8</f>
        <v/>
      </c>
      <c r="I8" s="80">
        <f>IF(E8=0,IF(G8=0,0,100),G8/E8*100)</f>
        <v/>
      </c>
      <c r="J8" s="81" t="n"/>
    </row>
  </sheetData>
  <mergeCells count="7">
    <mergeCell ref="F3:G3"/>
    <mergeCell ref="A1:J1"/>
    <mergeCell ref="C3:C4"/>
    <mergeCell ref="A3:A4"/>
    <mergeCell ref="J3:J4"/>
    <mergeCell ref="D3:E3"/>
    <mergeCell ref="H3:I3"/>
  </mergeCells>
  <printOptions horizontalCentered="1"/>
  <pageMargins left="0.4" right="0.4" top="0.5" bottom="0.5" header="0.511811023622047" footer="0.25"/>
  <pageSetup orientation="landscape" paperSize="9" fitToHeight="0" horizontalDpi="300" verticalDpi="300"/>
  <headerFooter>
    <oddHeader/>
    <oddFooter>&amp;C&amp;P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tabSelected="1" view="pageBreakPreview" zoomScale="60" zoomScaleNormal="13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M48" sqref="M48"/>
    </sheetView>
  </sheetViews>
  <sheetFormatPr baseColWidth="8" defaultColWidth="8.6640625" defaultRowHeight="14.4"/>
  <cols>
    <col width="9.109375" customWidth="1" min="1" max="1"/>
    <col hidden="1" width="43" customWidth="1" min="2" max="2"/>
    <col width="46" customWidth="1" min="3" max="3"/>
    <col width="14" customWidth="1" min="4" max="9"/>
    <col hidden="1" width="27" customWidth="1" min="10" max="10"/>
  </cols>
  <sheetData>
    <row r="1" ht="45" customHeight="1">
      <c r="A1" s="6" t="inlineStr">
        <is>
          <t xml:space="preserve">Бухоро вилоятидаги тўқимачилик корхоналари томонидан амалга оширилган экспорт ҳажмлари
(2025-2026 йиллар 8 ойда) </t>
        </is>
      </c>
    </row>
    <row r="2" ht="15" customHeight="1"/>
    <row r="3">
      <c r="A3" s="5" t="inlineStr">
        <is>
          <t>№</t>
        </is>
      </c>
      <c r="B3" s="10" t="n"/>
      <c r="C3" s="4" t="inlineStr">
        <is>
          <t>Корхона номи</t>
        </is>
      </c>
      <c r="D3" s="66" t="inlineStr">
        <is>
          <t>2025 йил 8 ойда</t>
        </is>
      </c>
      <c r="E3" s="67" t="n"/>
      <c r="F3" s="66" t="inlineStr">
        <is>
          <t>2026 йил 8 ойда</t>
        </is>
      </c>
      <c r="G3" s="67" t="n"/>
      <c r="H3" s="66" t="inlineStr">
        <is>
          <t>Ўсиш</t>
        </is>
      </c>
      <c r="I3" s="67" t="n"/>
      <c r="J3" s="68" t="inlineStr">
        <is>
          <t>Ҳолати</t>
        </is>
      </c>
    </row>
    <row r="4" ht="42.75" customHeight="1">
      <c r="A4" s="69" t="n"/>
      <c r="B4" s="32" t="inlineStr">
        <is>
          <t>Названия строк</t>
        </is>
      </c>
      <c r="C4" s="70" t="n"/>
      <c r="D4" s="71" t="inlineStr">
        <is>
          <t>Вазни 
(тонна)</t>
        </is>
      </c>
      <c r="E4" s="71" t="inlineStr">
        <is>
          <t>Қиймати
(минг долл)</t>
        </is>
      </c>
      <c r="F4" s="71" t="inlineStr">
        <is>
          <t>Вазни 
(тонна)</t>
        </is>
      </c>
      <c r="G4" s="71" t="inlineStr">
        <is>
          <t>Қиймати
(минг долл)</t>
        </is>
      </c>
      <c r="H4" s="71" t="inlineStr">
        <is>
          <t>Қийматда</t>
        </is>
      </c>
      <c r="I4" s="71" t="inlineStr">
        <is>
          <t>Фоизда</t>
        </is>
      </c>
      <c r="J4" s="70" t="n"/>
    </row>
    <row r="5" ht="15" customHeight="1">
      <c r="A5" s="16" t="n"/>
      <c r="B5" s="12" t="n"/>
      <c r="C5" s="63" t="inlineStr">
        <is>
          <t>ЖАМИ корхоналар (100 та)</t>
        </is>
      </c>
      <c r="D5" s="72">
        <f>D6+D35+D60+D86</f>
        <v/>
      </c>
      <c r="E5" s="72">
        <f>E6+E35+E60+E86</f>
        <v/>
      </c>
      <c r="F5" s="72">
        <f>F6+F35+F60+F86</f>
        <v/>
      </c>
      <c r="G5" s="72">
        <f>G6+G35+G60+G86</f>
        <v/>
      </c>
      <c r="H5" s="72">
        <f>G5-E5</f>
        <v/>
      </c>
      <c r="I5" s="73">
        <f>IF(E5=0,IF(G5=0,0,100),G5/E5*100)</f>
        <v/>
      </c>
      <c r="J5" s="74" t="n"/>
    </row>
    <row r="6" ht="21" customFormat="1" customHeight="1" s="62">
      <c r="A6" s="60" t="inlineStr">
        <is>
          <t>I</t>
        </is>
      </c>
      <c r="B6" s="60" t="n"/>
      <c r="C6" s="60">
        <f>"Экспорти кўпайган корхоналар ("&amp;COUNTIF(J7:J34,"кўпайган")&amp;" та)"</f>
        <v/>
      </c>
      <c r="D6" s="82">
        <f>SUMIF(J7:J34,"кўпайган",D7:D34)</f>
        <v/>
      </c>
      <c r="E6" s="82">
        <f>SUMIF(J7:J34,"кўпайган",E7:E34)</f>
        <v/>
      </c>
      <c r="F6" s="82">
        <f>SUMIF(J7:J34,"кўпайган",F7:F34)</f>
        <v/>
      </c>
      <c r="G6" s="82">
        <f>SUMIF(J7:J34,"кўпайган",G7:G34)</f>
        <v/>
      </c>
      <c r="H6" s="82">
        <f>G6-E6</f>
        <v/>
      </c>
      <c r="I6" s="82">
        <f>IF(E6=0,IF(G6=0,0,100),G6/E6*100)</f>
        <v/>
      </c>
      <c r="J6" s="82" t="n"/>
    </row>
    <row r="7" customFormat="1" s="55">
      <c r="A7" s="83">
        <f>IF(J7&lt;&gt;"",COUNTIF(J$7:J7,J7),"")</f>
        <v/>
      </c>
      <c r="B7" s="52">
        <f>'Соҳалар билан'!B7</f>
        <v/>
      </c>
      <c r="C7" s="52">
        <f>'Соҳалар билан'!C7</f>
        <v/>
      </c>
      <c r="D7" s="83">
        <f>'Соҳалар билан'!D7</f>
        <v/>
      </c>
      <c r="E7" s="83">
        <f>'Соҳалар билан'!E7</f>
        <v/>
      </c>
      <c r="F7" s="83">
        <f>'Соҳалар билан'!F7</f>
        <v/>
      </c>
      <c r="G7" s="83">
        <f>'Соҳалар билан'!G7</f>
        <v/>
      </c>
      <c r="H7" s="83">
        <f>G7-E7</f>
        <v/>
      </c>
      <c r="I7" s="84">
        <f>IF(E7=0,IF(G7=0,0,100),G7/E7*100)</f>
        <v/>
      </c>
      <c r="J7" s="85">
        <f>IF(E7=0,"янги корхона",IF(G7=0,"2026 йил экспорт қилмаган",IF(G7&gt;=E7,"кўпайган","камайган")))</f>
        <v/>
      </c>
    </row>
    <row r="8" customFormat="1" s="55"/>
    <row r="9" customFormat="1" s="55"/>
    <row r="10" customFormat="1" s="55"/>
    <row r="11" customFormat="1" s="55"/>
    <row r="12" customFormat="1" s="55"/>
    <row r="13" customFormat="1" s="55"/>
    <row r="14" customFormat="1" s="55"/>
    <row r="15" customFormat="1" s="55"/>
    <row r="16" customFormat="1" s="55"/>
    <row r="17" customFormat="1" s="55"/>
    <row r="18" customFormat="1" s="55"/>
    <row r="19" customFormat="1" s="55"/>
    <row r="20" customFormat="1" s="55"/>
    <row r="21" customFormat="1" s="55"/>
    <row r="22" customFormat="1" s="55"/>
    <row r="23" customFormat="1" s="55"/>
    <row r="24" customFormat="1" s="55"/>
    <row r="25" customFormat="1" s="55"/>
    <row r="26" customFormat="1" s="55"/>
    <row r="27" customFormat="1" s="55"/>
    <row r="28" customFormat="1" s="55"/>
    <row r="29" customFormat="1" s="55"/>
    <row r="30" customFormat="1" s="55"/>
    <row r="31" customFormat="1" s="55"/>
    <row r="32" customFormat="1" s="55"/>
    <row r="33" customFormat="1" s="55"/>
    <row r="34" customFormat="1" s="55"/>
    <row r="35" ht="21" customFormat="1" customHeight="1" s="62"/>
    <row r="36" customFormat="1" s="55"/>
    <row r="37" customFormat="1" s="55"/>
    <row r="38" customFormat="1" s="55"/>
    <row r="39" customFormat="1" s="55"/>
    <row r="40" customFormat="1" s="55"/>
    <row r="41" customFormat="1" s="55"/>
    <row r="42" customFormat="1" s="55"/>
    <row r="43" customFormat="1" s="55"/>
    <row r="44" customFormat="1" s="55"/>
    <row r="45" customFormat="1" s="55"/>
    <row r="46" customFormat="1" s="55"/>
    <row r="47" customFormat="1" s="55"/>
    <row r="48" customFormat="1" s="55"/>
    <row r="49" customFormat="1" s="55"/>
    <row r="50" customFormat="1" s="55"/>
    <row r="51" customFormat="1" s="55"/>
    <row r="52" customFormat="1" s="55"/>
    <row r="53" customFormat="1" s="55"/>
    <row r="54" customFormat="1" s="55"/>
    <row r="55" customFormat="1" s="55"/>
    <row r="56" customFormat="1" s="55"/>
    <row r="57" customFormat="1" s="55"/>
    <row r="58" customFormat="1" s="55"/>
    <row r="59" customFormat="1" s="55"/>
    <row r="60" ht="21" customFormat="1" customHeight="1" s="62"/>
    <row r="61" customFormat="1" s="55"/>
    <row r="62" customFormat="1" s="55"/>
    <row r="63" customFormat="1" s="55"/>
    <row r="64" customFormat="1" s="55"/>
    <row r="65" customFormat="1" s="55"/>
    <row r="66" customFormat="1" s="55"/>
    <row r="67" customFormat="1" s="55"/>
    <row r="68" customFormat="1" s="55"/>
    <row r="69" customFormat="1" s="55"/>
    <row r="70" customFormat="1" s="55"/>
    <row r="71" customFormat="1" s="55"/>
    <row r="72" customFormat="1" s="55"/>
    <row r="73" customFormat="1" s="55"/>
    <row r="74" customFormat="1" s="55"/>
    <row r="75" customFormat="1" s="55"/>
    <row r="76" customFormat="1" s="55"/>
    <row r="77" customFormat="1" s="55"/>
    <row r="78" customFormat="1" s="55"/>
    <row r="79" customFormat="1" s="55"/>
    <row r="80" customFormat="1" s="55"/>
    <row r="81" customFormat="1" s="55"/>
    <row r="82" customFormat="1" s="55"/>
    <row r="83" customFormat="1" s="55"/>
    <row r="84" customFormat="1" s="55"/>
    <row r="85" customFormat="1" s="55"/>
    <row r="86" ht="21" customFormat="1" customHeight="1" s="62"/>
    <row r="87" customFormat="1" s="55"/>
    <row r="88" customFormat="1" s="55"/>
    <row r="89" customFormat="1" s="55"/>
    <row r="90" customFormat="1" s="55"/>
    <row r="91" customFormat="1" s="55"/>
    <row r="92" customFormat="1" s="55"/>
    <row r="93" customFormat="1" s="55"/>
    <row r="94" customFormat="1" s="55"/>
    <row r="95" customFormat="1" s="55"/>
    <row r="96" customFormat="1" s="55"/>
    <row r="97" customFormat="1" s="55"/>
    <row r="98" customFormat="1" s="55"/>
    <row r="99" customFormat="1" s="55"/>
    <row r="100" customFormat="1" s="55"/>
    <row r="101" customFormat="1" s="55"/>
    <row r="102" customFormat="1" s="55"/>
    <row r="103" customFormat="1" s="55"/>
    <row r="104" customFormat="1" s="55"/>
    <row r="105" customFormat="1" s="55"/>
    <row r="106" customFormat="1" s="55"/>
    <row r="107" customFormat="1" s="55"/>
    <row r="108" customFormat="1" s="55"/>
    <row r="109" customFormat="1" s="55"/>
    <row r="110" customFormat="1" s="55"/>
  </sheetData>
  <mergeCells count="7">
    <mergeCell ref="F3:G3"/>
    <mergeCell ref="A1:J1"/>
    <mergeCell ref="C3:C4"/>
    <mergeCell ref="A3:A4"/>
    <mergeCell ref="J3:J4"/>
    <mergeCell ref="D3:E3"/>
    <mergeCell ref="H3:I3"/>
  </mergeCells>
  <printOptions horizontalCentered="1"/>
  <pageMargins left="0.4" right="0.4" top="0.5" bottom="0.5" header="0.511811023622047" footer="0.25"/>
  <pageSetup orientation="landscape" paperSize="9" fitToHeight="0" horizontalDpi="300" verticalDpi="300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:language xmlns:dc="http://purl.org/dc/elements/1.1/">en-US</dc:language>
  <dcterms:created xmlns:dcterms="http://purl.org/dc/terms/" xmlns:xsi="http://www.w3.org/2001/XMLSchema-instance" xsi:type="dcterms:W3CDTF">2026-09-23T06:46:19Z</dcterms:created>
  <dcterms:modified xmlns:dcterms="http://purl.org/dc/terms/" xmlns:xsi="http://www.w3.org/2001/XMLSchema-instance" xsi:type="dcterms:W3CDTF">2026-09-23T10:27:44Z</dcterms:modified>
  <cp:lastModifiedBy>Пользователь</cp:lastModifiedBy>
  <cp:revision>0</cp:revision>
  <cp:lastPrinted>2026-09-23T08:18:07Z</cp:lastPrinted>
</cp:coreProperties>
</file>